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 Stories" sheetId="1" r:id="rId5"/>
    <sheet state="visible" name="Dashboard" sheetId="2" r:id="rId6"/>
    <sheet state="visible" name="Planning 7 jours" sheetId="3" r:id="rId7"/>
  </sheets>
  <definedNames>
    <definedName hidden="1" localSheetId="2" name="_xlnm._FilterDatabase">'Planning 7 jours'!$A$1:$D$8</definedName>
  </definedNames>
  <calcPr/>
</workbook>
</file>

<file path=xl/sharedStrings.xml><?xml version="1.0" encoding="utf-8"?>
<sst xmlns="http://schemas.openxmlformats.org/spreadsheetml/2006/main" count="236" uniqueCount="106">
  <si>
    <t>US01</t>
  </si>
  <si>
    <t>Jour</t>
  </si>
  <si>
    <t>MYTHORIA — PROJECT PLANNING</t>
  </si>
  <si>
    <t>Focus</t>
  </si>
  <si>
    <t>Tâches principales</t>
  </si>
  <si>
    <t>Statut</t>
  </si>
  <si>
    <t>Jour 1</t>
  </si>
  <si>
    <t>Structure &amp; données</t>
  </si>
  <si>
    <t>Organisation des fichiers, tableaux JavaScript des cartes et boosters, navigation</t>
  </si>
  <si>
    <t>To Do</t>
  </si>
  <si>
    <t>Navigation entre les pages — découvrir le jeu et naviguer facilement.</t>
  </si>
  <si>
    <t>Structure &amp; Home</t>
  </si>
  <si>
    <t>Jour 2</t>
  </si>
  <si>
    <t>Page Home</t>
  </si>
  <si>
    <t>Hero, catégories, boosters disponibles, cartes légendaires et navigation</t>
  </si>
  <si>
    <t>done</t>
  </si>
  <si>
    <t>Doing</t>
  </si>
  <si>
    <t>Jour 3</t>
  </si>
  <si>
    <t>Boutique &amp; panier</t>
  </si>
  <si>
    <t>Affichage des boosters, quantités, total, LocalStorage et commande simulée</t>
  </si>
  <si>
    <t>Jour 4</t>
  </si>
  <si>
    <t>Opening Chamber</t>
  </si>
  <si>
    <t>Tirage aléatoire, probabilités, animation et ajout des cartes à la collection</t>
  </si>
  <si>
    <t>Jour 5</t>
  </si>
  <si>
    <t>My Grimoire</t>
  </si>
  <si>
    <t>Suivi des tâches — modifiez les statuts dans l’onglet « User Stories ».</t>
  </si>
  <si>
    <t>Grimoire, navigation des pages, filtres, détails et sauvegarde</t>
  </si>
  <si>
    <t>Jour 6</t>
  </si>
  <si>
    <t>My Deck</t>
  </si>
  <si>
    <t>Ajouter/retirer des cartes, limite de 20, statistiques et sauvegarde</t>
  </si>
  <si>
    <t>Jour 7</t>
  </si>
  <si>
    <t>Tests &amp; livraison</t>
  </si>
  <si>
    <t>Tests fonctionnels, responsive, corrections et préparation de la livraison</t>
  </si>
  <si>
    <t>Haute</t>
  </si>
  <si>
    <t>US02</t>
  </si>
  <si>
    <t>Nombre de tâches</t>
  </si>
  <si>
    <t>Hero immersif — découvrir le jeu et naviguer facilement.</t>
  </si>
  <si>
    <t>Utilisation</t>
  </si>
  <si>
    <t>US03</t>
  </si>
  <si>
    <t>Bouton « découvrir les boosters » vers la boutique — découvrir le jeu et naviguer facilement.</t>
  </si>
  <si>
    <t>US04</t>
  </si>
  <si>
    <t>Bouton « ouvrir mon grimoire » vers la collection — découvrir le jeu et naviguer facilement.</t>
  </si>
  <si>
    <t>US05</t>
  </si>
  <si>
    <t>Présentation des quatre catégories de cartes — découvrir le jeu et naviguer facilement.</t>
  </si>
  <si>
    <t>US06</t>
  </si>
  <si>
    <t>Afficher les boosters disponibles et les cartes légendaires sur home — découvrir le jeu et naviguer facilement.</t>
  </si>
  <si>
    <t>US07</t>
  </si>
  <si>
    <t>Afficher les boosters avec illustrations, descriptions et prix — choisir et acheter des boosters.</t>
  </si>
  <si>
    <t>Boutique</t>
  </si>
  <si>
    <t>US08</t>
  </si>
  <si>
    <t>Afficher le nombre et les catégories de cartes possibles par booster — choisir et acheter des boosters.</t>
  </si>
  <si>
    <t>US09</t>
  </si>
  <si>
    <t>Ajouter un ou plusieurs boosters au panier — choisir et acheter des boosters.</t>
  </si>
  <si>
    <t>US10</t>
  </si>
  <si>
    <t>À faire</t>
  </si>
  <si>
    <t>Modifier la quantité des boosters — choisir et acheter des boosters.</t>
  </si>
  <si>
    <t>US11</t>
  </si>
  <si>
    <t>Calculer le total du panier en temps réel — choisir et acheter des boosters.</t>
  </si>
  <si>
    <t>US12</t>
  </si>
  <si>
    <t>Retirer un booster ou vider le panier — choisir et acheter des boosters.</t>
  </si>
  <si>
    <t>US13</t>
  </si>
  <si>
    <t>Conserver le panier après actualisation avec localstorage — choisir et acheter des boosters.</t>
  </si>
  <si>
    <t>US14</t>
  </si>
  <si>
    <t>Simuler la validation d’une commande sans paiement réel — choisir et acheter des boosters.</t>
  </si>
  <si>
    <t>US15</t>
  </si>
  <si>
    <t>Consulter les boosters disponibles après achat — découvrir des cartes aléatoires.</t>
  </si>
  <si>
    <t>US16</t>
  </si>
  <si>
    <t>Ouvrir un booster avec une animation de révélation — découvrir des cartes aléatoires.</t>
  </si>
  <si>
    <t>US17</t>
  </si>
  <si>
    <t>Tirer cinq cartes aléatoirement selon le type de booster et les probabilités — découvrir des cartes aléatoires.</t>
  </si>
  <si>
    <t>US18</t>
  </si>
  <si>
    <t>Afficher l’illustration, le nom, le type, la rareté et les statistiques des cartes — découvrir des cartes aléatoires.</t>
  </si>
  <si>
    <t>US19</t>
  </si>
  <si>
    <t>Ajouter automatiquement les cartes obtenues à la collection — découvrir des cartes aléatoires.</t>
  </si>
  <si>
    <t>US20</t>
  </si>
  <si>
    <t>Afficher un message spécial pour une carte rare, épique ou légendaire — découvrir des cartes aléatoires.</t>
  </si>
  <si>
    <t>US21</t>
  </si>
  <si>
    <t>Afficher les cartes obtenues dans un grimoire illustré — consulter et organiser sa collection.</t>
  </si>
  <si>
    <t>US27</t>
  </si>
  <si>
    <t>Conserver la collection après actualisation avec localstorage — consulter et organiser sa collection.</t>
  </si>
  <si>
    <t>US28</t>
  </si>
  <si>
    <t>Ajouter une carte de la collection au deck — préparer un deck pour ses futurs combats.</t>
  </si>
  <si>
    <t>US29</t>
  </si>
  <si>
    <t>Retirer une carte du deck — préparer un deck pour ses futurs combats.</t>
  </si>
  <si>
    <t>US30</t>
  </si>
  <si>
    <t>Afficher les cartes sélectionnées et le nombre total du deck — préparer un deck pour ses futurs combats.</t>
  </si>
  <si>
    <t>US31</t>
  </si>
  <si>
    <t>Limiter le deck à 20 cartes et empêcher les ajouts au-delà — préparer un deck pour ses futurs combats.</t>
  </si>
  <si>
    <t>US32</t>
  </si>
  <si>
    <t>Afficher les statistiques générales du deck — préparer un deck pour ses futurs combats.</t>
  </si>
  <si>
    <t>US33</t>
  </si>
  <si>
    <t>Enregistrer le deck dans localstorage — préparer un deck pour ses futurs combats.</t>
  </si>
  <si>
    <t>US34</t>
  </si>
  <si>
    <t>Afficher des effets visuels distincts selon la rareté — profiter de fonctionnalités supplémentaires.</t>
  </si>
  <si>
    <t>Bonus</t>
  </si>
  <si>
    <t>Basse</t>
  </si>
  <si>
    <t>US35</t>
  </si>
  <si>
    <t>Consulter l’historique des boosters ouverts — profiter de fonctionnalités supplémentaires.</t>
  </si>
  <si>
    <t>US36</t>
  </si>
  <si>
    <t>Afficher le compteur des cartes découvertes sur le catalogue total — profiter de fonctionnalités supplémentaires.</t>
  </si>
  <si>
    <t>US37</t>
  </si>
  <si>
    <t>Imprimer un reçu de commande — profiter de fonctionnalités supplémentaires.</t>
  </si>
  <si>
    <t>En cours</t>
  </si>
  <si>
    <t>Done</t>
  </si>
  <si>
    <t>Terminée</t>
  </si>
  <si>
    <t>Total User Stories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</si>
</sst>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color rgb="FF6B4F1D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b/>
      <sz val="16.0"/>
      <color rgb="FFFFFFFF"/>
      <name val="Calibri"/>
      <scheme val="minor"/>
    </font>
    <font>
      <b/>
      <color theme="1"/>
      <name val="Calibri"/>
      <scheme val="minor"/>
    </font>
    <font/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24243A"/>
        <bgColor rgb="FF24243A"/>
      </patternFill>
    </fill>
    <fill>
      <patternFill patternType="solid">
        <fgColor rgb="FFE5E7EB"/>
        <bgColor rgb="FFE5E7EB"/>
      </patternFill>
    </fill>
    <fill>
      <patternFill patternType="solid">
        <fgColor rgb="FFFDE7B0"/>
        <bgColor rgb="FFFDE7B0"/>
      </patternFill>
    </fill>
    <fill>
      <patternFill patternType="solid">
        <fgColor rgb="FFEFEFEF"/>
        <bgColor rgb="FFEFEFEF"/>
      </patternFill>
    </fill>
    <fill>
      <patternFill patternType="solid">
        <fgColor rgb="FFCDEFD8"/>
        <bgColor rgb="FFCDEFD8"/>
      </patternFill>
    </fill>
  </fills>
  <borders count="6">
    <border/>
    <border>
      <bottom style="thin">
        <color rgb="FFD9D9E3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2" fillId="2" fontId="2" numFmtId="0" xfId="0" applyAlignment="1" applyBorder="1" applyFill="1" applyFont="1">
      <alignment shrinkToFit="0" vertical="center" wrapText="1"/>
    </xf>
    <xf borderId="1" fillId="0" fontId="3" numFmtId="0" xfId="0" applyAlignment="1" applyBorder="1" applyFont="1">
      <alignment shrinkToFit="0" vertical="top" wrapText="1"/>
    </xf>
    <xf borderId="1" fillId="0" fontId="1" numFmtId="0" xfId="0" applyAlignment="1" applyBorder="1" applyFont="1">
      <alignment shrinkToFit="0" vertical="top" wrapText="1"/>
    </xf>
    <xf borderId="1" fillId="3" fontId="3" numFmtId="0" xfId="0" applyAlignment="1" applyBorder="1" applyFill="1" applyFont="1">
      <alignment shrinkToFit="0" vertical="top" wrapText="1"/>
    </xf>
    <xf borderId="3" fillId="2" fontId="4" numFmtId="0" xfId="0" applyBorder="1" applyFill="1" applyFont="1"/>
    <xf borderId="1" fillId="3" fontId="5" numFmtId="0" xfId="0" applyAlignment="1" applyBorder="1" applyFill="1" applyFont="1">
      <alignment readingOrder="0" shrinkToFit="0" vertical="top" wrapText="1"/>
    </xf>
    <xf borderId="1" fillId="4" fontId="3" numFmtId="0" xfId="0" applyAlignment="1" applyBorder="1" applyFill="1" applyFont="1">
      <alignment shrinkToFit="0" vertical="top" wrapText="1"/>
    </xf>
    <xf borderId="4" fillId="0" fontId="6" numFmtId="0" xfId="0" applyBorder="1" applyFont="1"/>
    <xf borderId="5" fillId="0" fontId="6" numFmtId="0" xfId="0" applyBorder="1" applyFont="1"/>
    <xf borderId="0" fillId="0" fontId="3" numFmtId="0" xfId="0" applyAlignment="1" applyFont="1">
      <alignment shrinkToFit="0" wrapText="1"/>
    </xf>
    <xf borderId="2" fillId="2" fontId="2" numFmtId="0" xfId="0" applyBorder="1" applyFill="1" applyFont="1"/>
    <xf borderId="2" fillId="3" fontId="3" numFmtId="0" xfId="0" applyBorder="1" applyFill="1" applyFont="1"/>
    <xf borderId="1" fillId="5" fontId="5" numFmtId="0" xfId="0" applyAlignment="1" applyBorder="1" applyFill="1" applyFont="1">
      <alignment readingOrder="0" shrinkToFit="0" vertical="top" wrapText="1"/>
    </xf>
    <xf borderId="0" fillId="0" fontId="3" numFmtId="1" xfId="0" applyFont="1" applyNumberFormat="1"/>
    <xf borderId="1" fillId="0" fontId="3" numFmtId="0" xfId="0" applyAlignment="1" applyBorder="1" applyFont="1">
      <alignment readingOrder="0" shrinkToFit="0" vertical="top" wrapText="1"/>
    </xf>
    <xf borderId="1" fillId="3" fontId="5" numFmtId="0" xfId="0" applyAlignment="1" applyBorder="1" applyFill="1" applyFont="1">
      <alignment shrinkToFit="0" vertical="top" wrapText="1"/>
    </xf>
    <xf borderId="0" fillId="0" fontId="7" numFmtId="0" xfId="0" applyFont="1"/>
    <xf borderId="2" fillId="4" fontId="3" numFmtId="0" xfId="0" applyBorder="1" applyFill="1" applyFont="1"/>
    <xf borderId="2" fillId="6" fontId="3" numFmtId="0" xfId="0" applyBorder="1" applyFill="1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4.0"/>
    <col customWidth="1" min="3" max="3" width="75.0"/>
    <col customWidth="1" min="4" max="4" width="22.0"/>
    <col customWidth="1" min="5" max="6" width="14.0"/>
    <col customWidth="1" min="7" max="7" width="28.0"/>
    <col customWidth="1" min="8" max="26" width="8.71"/>
  </cols>
  <sheetData>
    <row r="1">
      <c r="A1" s="3" t="s">
        <v>0</v>
      </c>
      <c r="B1" s="2" t="s">
        <v>6</v>
      </c>
      <c r="C1" s="2" t="s">
        <v>10</v>
      </c>
      <c r="D1" s="2" t="s">
        <v>11</v>
      </c>
      <c r="E1" s="6" t="s">
        <v>15</v>
      </c>
      <c r="F1" s="2" t="s">
        <v>33</v>
      </c>
      <c r="G1" s="2"/>
    </row>
    <row r="2">
      <c r="A2" s="3" t="s">
        <v>34</v>
      </c>
      <c r="B2" s="2" t="s">
        <v>12</v>
      </c>
      <c r="C2" s="2" t="s">
        <v>36</v>
      </c>
      <c r="D2" s="2" t="s">
        <v>11</v>
      </c>
      <c r="E2" s="6" t="s">
        <v>15</v>
      </c>
      <c r="F2" s="2" t="s">
        <v>33</v>
      </c>
      <c r="G2" s="2"/>
    </row>
    <row r="3">
      <c r="A3" s="3" t="s">
        <v>38</v>
      </c>
      <c r="B3" s="2" t="s">
        <v>12</v>
      </c>
      <c r="C3" s="2" t="s">
        <v>39</v>
      </c>
      <c r="D3" s="2" t="s">
        <v>11</v>
      </c>
      <c r="E3" s="6" t="s">
        <v>15</v>
      </c>
      <c r="F3" s="2" t="s">
        <v>33</v>
      </c>
      <c r="G3" s="2"/>
    </row>
    <row r="4">
      <c r="A4" s="3" t="s">
        <v>40</v>
      </c>
      <c r="B4" s="2" t="s">
        <v>12</v>
      </c>
      <c r="C4" s="2" t="s">
        <v>41</v>
      </c>
      <c r="D4" s="2" t="s">
        <v>11</v>
      </c>
      <c r="E4" s="6" t="s">
        <v>15</v>
      </c>
      <c r="F4" s="2" t="s">
        <v>33</v>
      </c>
      <c r="G4" s="2"/>
    </row>
    <row r="5">
      <c r="A5" s="3" t="s">
        <v>42</v>
      </c>
      <c r="B5" s="2" t="s">
        <v>12</v>
      </c>
      <c r="C5" s="2" t="s">
        <v>43</v>
      </c>
      <c r="D5" s="2" t="s">
        <v>11</v>
      </c>
      <c r="E5" s="6" t="s">
        <v>15</v>
      </c>
      <c r="F5" s="2" t="s">
        <v>33</v>
      </c>
      <c r="G5" s="2"/>
    </row>
    <row r="6">
      <c r="A6" s="3" t="s">
        <v>44</v>
      </c>
      <c r="B6" s="2" t="s">
        <v>12</v>
      </c>
      <c r="C6" s="2" t="s">
        <v>45</v>
      </c>
      <c r="D6" s="2" t="s">
        <v>11</v>
      </c>
      <c r="E6" s="13" t="s">
        <v>15</v>
      </c>
      <c r="F6" s="2" t="s">
        <v>33</v>
      </c>
      <c r="G6" s="2"/>
    </row>
    <row r="7">
      <c r="A7" s="3" t="s">
        <v>46</v>
      </c>
      <c r="B7" s="2" t="s">
        <v>17</v>
      </c>
      <c r="C7" s="2" t="s">
        <v>47</v>
      </c>
      <c r="D7" s="2" t="s">
        <v>48</v>
      </c>
      <c r="E7" s="13" t="s">
        <v>15</v>
      </c>
      <c r="F7" s="2" t="s">
        <v>33</v>
      </c>
      <c r="G7" s="2"/>
    </row>
    <row r="8">
      <c r="A8" s="3" t="s">
        <v>49</v>
      </c>
      <c r="B8" s="2" t="s">
        <v>17</v>
      </c>
      <c r="C8" s="2" t="s">
        <v>50</v>
      </c>
      <c r="D8" s="2" t="s">
        <v>48</v>
      </c>
      <c r="E8" s="6" t="s">
        <v>15</v>
      </c>
      <c r="F8" s="2" t="s">
        <v>33</v>
      </c>
      <c r="G8" s="2"/>
    </row>
    <row r="9">
      <c r="A9" s="3" t="s">
        <v>51</v>
      </c>
      <c r="B9" s="2" t="s">
        <v>17</v>
      </c>
      <c r="C9" s="2" t="s">
        <v>52</v>
      </c>
      <c r="D9" s="2" t="s">
        <v>48</v>
      </c>
      <c r="E9" s="6" t="s">
        <v>15</v>
      </c>
      <c r="F9" s="2" t="s">
        <v>33</v>
      </c>
      <c r="G9" s="2"/>
    </row>
    <row r="10">
      <c r="A10" s="3" t="s">
        <v>53</v>
      </c>
      <c r="B10" s="2" t="s">
        <v>17</v>
      </c>
      <c r="C10" s="2" t="s">
        <v>55</v>
      </c>
      <c r="D10" s="2" t="s">
        <v>48</v>
      </c>
      <c r="E10" s="6" t="s">
        <v>15</v>
      </c>
      <c r="F10" s="2" t="s">
        <v>33</v>
      </c>
      <c r="G10" s="2"/>
    </row>
    <row r="11">
      <c r="A11" s="3" t="s">
        <v>56</v>
      </c>
      <c r="B11" s="2" t="s">
        <v>17</v>
      </c>
      <c r="C11" s="2" t="s">
        <v>57</v>
      </c>
      <c r="D11" s="2" t="s">
        <v>48</v>
      </c>
      <c r="E11" s="6" t="s">
        <v>15</v>
      </c>
      <c r="F11" s="2" t="s">
        <v>33</v>
      </c>
      <c r="G11" s="2"/>
    </row>
    <row r="12">
      <c r="A12" s="3" t="s">
        <v>58</v>
      </c>
      <c r="B12" s="15" t="s">
        <v>20</v>
      </c>
      <c r="C12" s="2" t="s">
        <v>59</v>
      </c>
      <c r="D12" s="2" t="s">
        <v>48</v>
      </c>
      <c r="E12" s="6" t="s">
        <v>15</v>
      </c>
      <c r="F12" s="2" t="s">
        <v>33</v>
      </c>
      <c r="G12" s="2"/>
    </row>
    <row r="13">
      <c r="A13" s="3" t="s">
        <v>60</v>
      </c>
      <c r="B13" s="15" t="s">
        <v>23</v>
      </c>
      <c r="C13" s="2" t="s">
        <v>61</v>
      </c>
      <c r="D13" s="2" t="s">
        <v>48</v>
      </c>
      <c r="E13" s="16" t="s">
        <v>9</v>
      </c>
      <c r="F13" s="2" t="s">
        <v>33</v>
      </c>
      <c r="G13" s="2"/>
    </row>
    <row r="14">
      <c r="A14" s="3" t="s">
        <v>62</v>
      </c>
      <c r="B14" s="15" t="s">
        <v>23</v>
      </c>
      <c r="C14" s="2" t="s">
        <v>63</v>
      </c>
      <c r="D14" s="2" t="s">
        <v>48</v>
      </c>
      <c r="E14" s="16" t="s">
        <v>9</v>
      </c>
      <c r="F14" s="2" t="s">
        <v>33</v>
      </c>
      <c r="G14" s="2"/>
    </row>
    <row r="15">
      <c r="A15" s="3" t="s">
        <v>64</v>
      </c>
      <c r="B15" s="15" t="s">
        <v>23</v>
      </c>
      <c r="C15" s="2" t="s">
        <v>65</v>
      </c>
      <c r="D15" s="2" t="s">
        <v>21</v>
      </c>
      <c r="E15" s="16" t="s">
        <v>9</v>
      </c>
      <c r="F15" s="2" t="s">
        <v>33</v>
      </c>
      <c r="G15" s="2"/>
    </row>
    <row r="16">
      <c r="A16" s="3" t="s">
        <v>66</v>
      </c>
      <c r="B16" s="15" t="s">
        <v>23</v>
      </c>
      <c r="C16" s="2" t="s">
        <v>67</v>
      </c>
      <c r="D16" s="2" t="s">
        <v>21</v>
      </c>
      <c r="E16" s="16" t="s">
        <v>9</v>
      </c>
      <c r="F16" s="2" t="s">
        <v>33</v>
      </c>
      <c r="G16" s="2"/>
    </row>
    <row r="17">
      <c r="A17" s="3" t="s">
        <v>68</v>
      </c>
      <c r="B17" s="15" t="s">
        <v>27</v>
      </c>
      <c r="C17" s="2" t="s">
        <v>69</v>
      </c>
      <c r="D17" s="2" t="s">
        <v>21</v>
      </c>
      <c r="E17" s="16" t="s">
        <v>9</v>
      </c>
      <c r="F17" s="2" t="s">
        <v>33</v>
      </c>
      <c r="G17" s="2"/>
    </row>
    <row r="18">
      <c r="A18" s="3" t="s">
        <v>70</v>
      </c>
      <c r="B18" s="2" t="s">
        <v>20</v>
      </c>
      <c r="C18" s="2" t="s">
        <v>71</v>
      </c>
      <c r="D18" s="2" t="s">
        <v>21</v>
      </c>
      <c r="E18" s="16" t="s">
        <v>9</v>
      </c>
      <c r="F18" s="2" t="s">
        <v>33</v>
      </c>
      <c r="G18" s="2"/>
    </row>
    <row r="19">
      <c r="A19" s="3" t="s">
        <v>72</v>
      </c>
      <c r="B19" s="2" t="s">
        <v>20</v>
      </c>
      <c r="C19" s="2" t="s">
        <v>73</v>
      </c>
      <c r="D19" s="2" t="s">
        <v>21</v>
      </c>
      <c r="E19" s="16" t="s">
        <v>9</v>
      </c>
      <c r="F19" s="2" t="s">
        <v>33</v>
      </c>
      <c r="G19" s="2"/>
    </row>
    <row r="20" ht="15.75" customHeight="1">
      <c r="A20" s="3" t="s">
        <v>74</v>
      </c>
      <c r="B20" s="2" t="s">
        <v>20</v>
      </c>
      <c r="C20" s="2" t="s">
        <v>75</v>
      </c>
      <c r="D20" s="2" t="s">
        <v>21</v>
      </c>
      <c r="E20" s="16" t="s">
        <v>9</v>
      </c>
      <c r="F20" s="2" t="s">
        <v>33</v>
      </c>
      <c r="G20" s="2"/>
    </row>
    <row r="21" ht="15.75" customHeight="1">
      <c r="A21" s="3" t="s">
        <v>76</v>
      </c>
      <c r="B21" s="2" t="s">
        <v>23</v>
      </c>
      <c r="C21" s="2" t="s">
        <v>77</v>
      </c>
      <c r="D21" s="2" t="s">
        <v>24</v>
      </c>
      <c r="E21" s="16" t="s">
        <v>9</v>
      </c>
      <c r="F21" s="2" t="s">
        <v>33</v>
      </c>
      <c r="G21" s="2"/>
    </row>
    <row r="22" ht="15.75" customHeight="1">
      <c r="A22" s="3" t="s">
        <v>78</v>
      </c>
      <c r="B22" s="2" t="s">
        <v>23</v>
      </c>
      <c r="C22" s="2" t="s">
        <v>79</v>
      </c>
      <c r="D22" s="2" t="s">
        <v>24</v>
      </c>
      <c r="E22" s="16" t="s">
        <v>9</v>
      </c>
      <c r="F22" s="2" t="s">
        <v>33</v>
      </c>
      <c r="G22" s="2"/>
    </row>
    <row r="23" ht="15.75" customHeight="1">
      <c r="A23" s="3" t="s">
        <v>80</v>
      </c>
      <c r="B23" s="2" t="s">
        <v>27</v>
      </c>
      <c r="C23" s="2" t="s">
        <v>81</v>
      </c>
      <c r="D23" s="2" t="s">
        <v>28</v>
      </c>
      <c r="E23" s="16" t="s">
        <v>9</v>
      </c>
      <c r="F23" s="2" t="s">
        <v>33</v>
      </c>
      <c r="G23" s="2"/>
    </row>
    <row r="24" ht="15.75" customHeight="1">
      <c r="A24" s="3" t="s">
        <v>82</v>
      </c>
      <c r="B24" s="2" t="s">
        <v>27</v>
      </c>
      <c r="C24" s="2" t="s">
        <v>83</v>
      </c>
      <c r="D24" s="2" t="s">
        <v>28</v>
      </c>
      <c r="E24" s="16" t="s">
        <v>9</v>
      </c>
      <c r="F24" s="2" t="s">
        <v>33</v>
      </c>
      <c r="G24" s="2"/>
    </row>
    <row r="25" ht="15.75" customHeight="1">
      <c r="A25" s="3" t="s">
        <v>84</v>
      </c>
      <c r="B25" s="2" t="s">
        <v>27</v>
      </c>
      <c r="C25" s="2" t="s">
        <v>85</v>
      </c>
      <c r="D25" s="2" t="s">
        <v>28</v>
      </c>
      <c r="E25" s="16" t="s">
        <v>9</v>
      </c>
      <c r="F25" s="2" t="s">
        <v>33</v>
      </c>
      <c r="G25" s="2"/>
    </row>
    <row r="26" ht="15.75" customHeight="1">
      <c r="A26" s="3" t="s">
        <v>86</v>
      </c>
      <c r="B26" s="2" t="s">
        <v>27</v>
      </c>
      <c r="C26" s="2" t="s">
        <v>87</v>
      </c>
      <c r="D26" s="2" t="s">
        <v>28</v>
      </c>
      <c r="E26" s="16" t="s">
        <v>9</v>
      </c>
      <c r="F26" s="2" t="s">
        <v>33</v>
      </c>
      <c r="G26" s="2"/>
    </row>
    <row r="27" ht="15.75" customHeight="1">
      <c r="A27" s="3" t="s">
        <v>88</v>
      </c>
      <c r="B27" s="2" t="s">
        <v>27</v>
      </c>
      <c r="C27" s="2" t="s">
        <v>89</v>
      </c>
      <c r="D27" s="2" t="s">
        <v>28</v>
      </c>
      <c r="E27" s="16" t="s">
        <v>9</v>
      </c>
      <c r="F27" s="2" t="s">
        <v>33</v>
      </c>
      <c r="G27" s="2"/>
    </row>
    <row r="28" ht="15.75" customHeight="1">
      <c r="A28" s="3" t="s">
        <v>90</v>
      </c>
      <c r="B28" s="2" t="s">
        <v>27</v>
      </c>
      <c r="C28" s="2" t="s">
        <v>91</v>
      </c>
      <c r="D28" s="2" t="s">
        <v>28</v>
      </c>
      <c r="E28" s="16" t="s">
        <v>9</v>
      </c>
      <c r="F28" s="2" t="s">
        <v>33</v>
      </c>
      <c r="G28" s="2"/>
    </row>
    <row r="29" ht="15.75" customHeight="1">
      <c r="A29" s="3" t="s">
        <v>92</v>
      </c>
      <c r="B29" s="2" t="s">
        <v>30</v>
      </c>
      <c r="C29" s="2" t="s">
        <v>93</v>
      </c>
      <c r="D29" s="2" t="s">
        <v>94</v>
      </c>
      <c r="E29" s="16" t="s">
        <v>9</v>
      </c>
      <c r="F29" s="2" t="s">
        <v>95</v>
      </c>
      <c r="G29" s="2"/>
    </row>
    <row r="30" ht="15.75" customHeight="1">
      <c r="A30" s="3" t="s">
        <v>96</v>
      </c>
      <c r="B30" s="2" t="s">
        <v>30</v>
      </c>
      <c r="C30" s="2" t="s">
        <v>97</v>
      </c>
      <c r="D30" s="2" t="s">
        <v>94</v>
      </c>
      <c r="E30" s="16" t="s">
        <v>9</v>
      </c>
      <c r="F30" s="2" t="s">
        <v>95</v>
      </c>
      <c r="G30" s="2"/>
    </row>
    <row r="31" ht="15.75" customHeight="1">
      <c r="A31" s="3" t="s">
        <v>98</v>
      </c>
      <c r="B31" s="2" t="s">
        <v>30</v>
      </c>
      <c r="C31" s="2" t="s">
        <v>99</v>
      </c>
      <c r="D31" s="2" t="s">
        <v>94</v>
      </c>
      <c r="E31" s="16" t="s">
        <v>9</v>
      </c>
      <c r="F31" s="2" t="s">
        <v>95</v>
      </c>
      <c r="G31" s="2"/>
    </row>
    <row r="32" ht="15.75" customHeight="1">
      <c r="A32" s="3" t="s">
        <v>100</v>
      </c>
      <c r="B32" s="2" t="s">
        <v>30</v>
      </c>
      <c r="C32" s="2" t="s">
        <v>101</v>
      </c>
      <c r="D32" s="2" t="s">
        <v>94</v>
      </c>
      <c r="E32" s="16" t="s">
        <v>9</v>
      </c>
      <c r="F32" s="2" t="s">
        <v>95</v>
      </c>
      <c r="G32" s="2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dataValidations>
    <dataValidation type="list" allowBlank="1" sqref="F1:F32">
      <formula1>"To Do,Doing,Done"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8.0"/>
    <col customWidth="1" min="2" max="2" width="22.0"/>
    <col customWidth="1" min="3" max="3" width="30.0"/>
    <col customWidth="1" min="4" max="4" width="20.0"/>
    <col customWidth="1" min="5" max="26" width="8.71"/>
  </cols>
  <sheetData>
    <row r="1">
      <c r="A1" s="5" t="s">
        <v>2</v>
      </c>
      <c r="B1" s="8"/>
      <c r="C1" s="8"/>
      <c r="D1" s="9"/>
    </row>
    <row r="2">
      <c r="A2" s="10" t="s">
        <v>25</v>
      </c>
    </row>
    <row r="4">
      <c r="A4" s="11" t="s">
        <v>5</v>
      </c>
      <c r="B4" s="11" t="s">
        <v>35</v>
      </c>
      <c r="C4" s="11" t="s">
        <v>37</v>
      </c>
      <c r="D4" s="11"/>
    </row>
    <row r="5">
      <c r="A5" s="12" t="s">
        <v>9</v>
      </c>
      <c r="B5" s="14">
        <f>COUNTIF('User Stories'!E:E,A5)</f>
        <v>20</v>
      </c>
      <c r="C5" s="17" t="s">
        <v>54</v>
      </c>
    </row>
    <row r="6">
      <c r="A6" s="18" t="s">
        <v>16</v>
      </c>
      <c r="B6" s="14">
        <f>COUNTIF('User Stories'!E:E,A6)</f>
        <v>0</v>
      </c>
      <c r="C6" s="17" t="s">
        <v>102</v>
      </c>
    </row>
    <row r="7">
      <c r="A7" s="19" t="s">
        <v>103</v>
      </c>
      <c r="B7" s="14">
        <f>COUNTIF('User Stories'!E:E,A7)</f>
        <v>12</v>
      </c>
      <c r="C7" s="17" t="s">
        <v>104</v>
      </c>
    </row>
    <row r="9">
      <c r="A9" s="20" t="s">
        <v>105</v>
      </c>
      <c r="B9" s="20">
        <f>COUNTA('User Stories'!A:A)-1</f>
        <v>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25.0"/>
    <col customWidth="1" min="3" max="3" width="78.0"/>
    <col customWidth="1" min="4" max="4" width="14.0"/>
    <col customWidth="1" min="5" max="26" width="8.71"/>
  </cols>
  <sheetData>
    <row r="1">
      <c r="A1" s="1" t="s">
        <v>1</v>
      </c>
      <c r="B1" s="1" t="s">
        <v>3</v>
      </c>
      <c r="C1" s="1" t="s">
        <v>4</v>
      </c>
      <c r="D1" s="1" t="s">
        <v>5</v>
      </c>
    </row>
    <row r="2">
      <c r="A2" s="2" t="s">
        <v>6</v>
      </c>
      <c r="B2" s="2" t="s">
        <v>7</v>
      </c>
      <c r="C2" s="2" t="s">
        <v>8</v>
      </c>
      <c r="D2" s="4" t="s">
        <v>9</v>
      </c>
    </row>
    <row r="3">
      <c r="A3" s="2" t="s">
        <v>12</v>
      </c>
      <c r="B3" s="2" t="s">
        <v>13</v>
      </c>
      <c r="C3" s="2" t="s">
        <v>14</v>
      </c>
      <c r="D3" s="7" t="s">
        <v>16</v>
      </c>
    </row>
    <row r="4">
      <c r="A4" s="2" t="s">
        <v>17</v>
      </c>
      <c r="B4" s="2" t="s">
        <v>18</v>
      </c>
      <c r="C4" s="2" t="s">
        <v>19</v>
      </c>
      <c r="D4" s="4" t="s">
        <v>9</v>
      </c>
    </row>
    <row r="5">
      <c r="A5" s="2" t="s">
        <v>20</v>
      </c>
      <c r="B5" s="2" t="s">
        <v>21</v>
      </c>
      <c r="C5" s="2" t="s">
        <v>22</v>
      </c>
      <c r="D5" s="4" t="s">
        <v>9</v>
      </c>
    </row>
    <row r="6">
      <c r="A6" s="2" t="s">
        <v>23</v>
      </c>
      <c r="B6" s="2" t="s">
        <v>24</v>
      </c>
      <c r="C6" s="2" t="s">
        <v>26</v>
      </c>
      <c r="D6" s="4" t="s">
        <v>9</v>
      </c>
    </row>
    <row r="7">
      <c r="A7" s="2" t="s">
        <v>27</v>
      </c>
      <c r="B7" s="2" t="s">
        <v>28</v>
      </c>
      <c r="C7" s="2" t="s">
        <v>29</v>
      </c>
      <c r="D7" s="4" t="s">
        <v>9</v>
      </c>
    </row>
    <row r="8">
      <c r="A8" s="2" t="s">
        <v>30</v>
      </c>
      <c r="B8" s="2" t="s">
        <v>31</v>
      </c>
      <c r="C8" s="2" t="s">
        <v>32</v>
      </c>
      <c r="D8" s="4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8"/>
  <printOptions/>
  <pageMargins bottom="1.0" footer="0.0" header="0.0" left="0.75" right="0.75" top="1.0"/>
  <pageSetup orientation="landscape"/>
  <drawing r:id="rId1"/>
</worksheet>
</file>